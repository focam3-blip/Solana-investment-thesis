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632896240a6d35/Desktop/FodeCamara_Solana_Thesis/"/>
    </mc:Choice>
  </mc:AlternateContent>
  <xr:revisionPtr revIDLastSave="8" documentId="8_{A478E201-3638-4977-97AE-BAA586AF2A10}" xr6:coauthVersionLast="47" xr6:coauthVersionMax="47" xr10:uidLastSave="{FCFC520C-A88C-4518-A0F9-D4E552FA97A8}"/>
  <bookViews>
    <workbookView xWindow="-120" yWindow="-120" windowWidth="29040" windowHeight="15720" activeTab="2" xr2:uid="{0D5FCBF6-4EAF-4D43-94C1-ABF244EBF327}"/>
  </bookViews>
  <sheets>
    <sheet name="Inputs" sheetId="1" r:id="rId1"/>
    <sheet name="Scenarios" sheetId="2" r:id="rId2"/>
    <sheet name="SOLForecast" sheetId="3" r:id="rId3"/>
    <sheet name="ScenarioSelector" sheetId="4" r:id="rId4"/>
    <sheet name="ScenarioSummary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C4" i="5"/>
  <c r="D4" i="5" s="1"/>
  <c r="C3" i="5"/>
  <c r="D3" i="5" s="1"/>
  <c r="D2" i="5"/>
  <c r="C2" i="5"/>
  <c r="B2" i="5"/>
  <c r="C4" i="3"/>
  <c r="C3" i="4"/>
  <c r="B4" i="4"/>
  <c r="B46" i="3" s="1"/>
  <c r="B4" i="2"/>
  <c r="B8" i="2"/>
  <c r="B5" i="2"/>
  <c r="B6" i="2"/>
  <c r="B6" i="3" l="1"/>
  <c r="B8" i="3"/>
  <c r="B5" i="3"/>
  <c r="C5" i="3" s="1"/>
  <c r="B10" i="3"/>
  <c r="B9" i="3"/>
  <c r="B7" i="3"/>
  <c r="B4" i="3"/>
  <c r="B52" i="3"/>
  <c r="B11" i="3"/>
  <c r="B23" i="3"/>
  <c r="B12" i="3"/>
  <c r="B36" i="3"/>
  <c r="B13" i="3"/>
  <c r="B37" i="3"/>
  <c r="B50" i="3"/>
  <c r="B27" i="3"/>
  <c r="B55" i="3"/>
  <c r="B15" i="3"/>
  <c r="B16" i="3"/>
  <c r="B53" i="3"/>
  <c r="B44" i="3"/>
  <c r="B47" i="3"/>
  <c r="B24" i="3"/>
  <c r="B49" i="3"/>
  <c r="B26" i="3"/>
  <c r="B39" i="3"/>
  <c r="B28" i="3"/>
  <c r="B17" i="3"/>
  <c r="B41" i="3"/>
  <c r="B18" i="3"/>
  <c r="B42" i="3"/>
  <c r="B54" i="3"/>
  <c r="B19" i="3"/>
  <c r="B43" i="3"/>
  <c r="B20" i="3"/>
  <c r="B32" i="3"/>
  <c r="B21" i="3"/>
  <c r="B33" i="3"/>
  <c r="B45" i="3"/>
  <c r="B35" i="3"/>
  <c r="B48" i="3"/>
  <c r="B25" i="3"/>
  <c r="B14" i="3"/>
  <c r="B38" i="3"/>
  <c r="B51" i="3"/>
  <c r="B40" i="3"/>
  <c r="B29" i="3"/>
  <c r="B30" i="3"/>
  <c r="B31" i="3"/>
  <c r="B22" i="3"/>
  <c r="B34" i="3"/>
  <c r="C6" i="3" l="1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B9" i="4" l="1"/>
  <c r="B8" i="4"/>
</calcChain>
</file>

<file path=xl/sharedStrings.xml><?xml version="1.0" encoding="utf-8"?>
<sst xmlns="http://schemas.openxmlformats.org/spreadsheetml/2006/main" count="43" uniqueCount="35">
  <si>
    <t>Inputs &amp; Assumptions</t>
  </si>
  <si>
    <t>Current SOL Price</t>
  </si>
  <si>
    <t xml:space="preserve">Start Date </t>
  </si>
  <si>
    <t>Forecast Horizon (weeks)</t>
  </si>
  <si>
    <t>Base Weekly Return</t>
  </si>
  <si>
    <t>Bear  Weekly Return</t>
  </si>
  <si>
    <t xml:space="preserve">Bull Weekly Return </t>
  </si>
  <si>
    <t xml:space="preserve">Weekly Volatility ( assumed) </t>
  </si>
  <si>
    <t>Scenario Table</t>
  </si>
  <si>
    <t>Scenario</t>
  </si>
  <si>
    <t>Weekly Return</t>
  </si>
  <si>
    <t>Description</t>
  </si>
  <si>
    <t>Base Case</t>
  </si>
  <si>
    <t>Neutral market conditions</t>
  </si>
  <si>
    <t>Bear Case</t>
  </si>
  <si>
    <t>Risk-off / high fear</t>
  </si>
  <si>
    <t>Bull Case</t>
  </si>
  <si>
    <t>Strong inflows / bullish sentiment</t>
  </si>
  <si>
    <t>Expected Weekly Return</t>
  </si>
  <si>
    <t>Forecast Model</t>
  </si>
  <si>
    <t>Week</t>
  </si>
  <si>
    <t>Forecasted Price</t>
  </si>
  <si>
    <t>Selected Scenario</t>
  </si>
  <si>
    <t>Projected 12-Month Price</t>
  </si>
  <si>
    <t>Projected 12-Month Return</t>
  </si>
  <si>
    <t>Scenario Selector Dashboard</t>
  </si>
  <si>
    <t>12-Month Return</t>
  </si>
  <si>
    <t>12-Month Price</t>
  </si>
  <si>
    <t>Base</t>
  </si>
  <si>
    <t>Bull</t>
  </si>
  <si>
    <t>Bear</t>
  </si>
  <si>
    <t>Row Labels</t>
  </si>
  <si>
    <t>Grand Total</t>
  </si>
  <si>
    <t>Average of Weekly Return</t>
  </si>
  <si>
    <t>Average of 12-Month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</si>
</sst>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9" fontId="0" fillId="0" borderId="0" xfId="1" applyFont="1"/>
    <xf numFmtId="164" fontId="0" fillId="0" borderId="0" xfId="1" applyNumberFormat="1" applyFont="1"/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5" fontId="0" fillId="0" borderId="0" xfId="0" applyNumberFormat="1"/>
    <xf numFmtId="164" fontId="0" fillId="0" borderId="1" xfId="1" applyNumberFormat="1" applyFont="1" applyBorder="1"/>
    <xf numFmtId="165" fontId="0" fillId="0" borderId="1" xfId="0" applyNumberFormat="1" applyBorder="1"/>
    <xf numFmtId="0" fontId="2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4" fillId="0" borderId="7" xfId="0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left" vertical="center" indent="1"/>
    </xf>
    <xf numFmtId="0" fontId="0" fillId="0" borderId="0" xfId="0" pivotButton="1"/>
    <xf numFmtId="164" fontId="0" fillId="0" borderId="0" xfId="0" applyNumberFormat="1"/>
    <xf numFmtId="9" fontId="0" fillId="0" borderId="0" xfId="0" applyNumberFormat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de Camara" refreshedDate="45976.652213425928" createdVersion="8" refreshedVersion="8" minRefreshableVersion="3" recordCount="3" xr:uid="{4AB193D2-79C2-4777-95E7-8AF0CF95E605}">
  <cacheSource type="worksheet">
    <worksheetSource ref="A1:D4" sheet="ScenarioSummary"/>
  </cacheSource>
  <cacheFields count="4">
    <cacheField name="Scenario" numFmtId="0">
      <sharedItems count="3">
        <s v="Base"/>
        <s v="Bear"/>
        <s v="Bull"/>
      </sharedItems>
    </cacheField>
    <cacheField name="Weekly Return" numFmtId="164">
      <sharedItems containsSemiMixedTypes="0" containsString="0" containsNumber="1" minValue="-5.0000000000000001E-3" maxValue="2.5000000000000001E-2"/>
    </cacheField>
    <cacheField name="12-Month Price" numFmtId="165">
      <sharedItems containsSemiMixedTypes="0" containsString="0" containsNumber="1" minValue="109.99585394927125" maxValue="515.48628776815076"/>
    </cacheField>
    <cacheField name="12-Month Return" numFmtId="9">
      <sharedItems containsSemiMixedTypes="0" containsString="0" containsNumber="1" minValue="-0.2294511106881173" maxValue="2.61111234863853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.2E-2"/>
    <n v="265.4377987386253"/>
    <n v="0.85945918555954681"/>
  </r>
  <r>
    <x v="1"/>
    <n v="-5.0000000000000001E-3"/>
    <n v="109.99585394927125"/>
    <n v="-0.2294511106881173"/>
  </r>
  <r>
    <x v="2"/>
    <n v="2.5000000000000001E-2"/>
    <n v="515.48628776815076"/>
    <n v="2.61111234863853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8A0C4-C36D-41FD-9E50-1C327A5019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7" firstHeaderRow="0" firstDataRow="1" firstDataCol="1"/>
  <pivotFields count="4">
    <pivotField axis="axisRow" showAll="0">
      <items count="4">
        <item x="0"/>
        <item x="1"/>
        <item x="2"/>
        <item t="default"/>
      </items>
    </pivotField>
    <pivotField dataField="1" numFmtId="164" showAll="0"/>
    <pivotField numFmtId="165" showAll="0"/>
    <pivotField dataField="1" numFmtId="9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eekly Return" fld="1" subtotal="average" baseField="0" baseItem="0" numFmtId="164"/>
    <dataField name="Average of 12-Month Return" fld="3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E5C2-30FD-44F5-AEAC-AAA40F695DF4}">
  <dimension ref="A1:B10"/>
  <sheetViews>
    <sheetView zoomScale="112" zoomScaleNormal="112" workbookViewId="0">
      <selection activeCell="B7" sqref="B7"/>
    </sheetView>
  </sheetViews>
  <sheetFormatPr defaultRowHeight="15"/>
  <cols>
    <col min="1" max="1" width="25.85546875" customWidth="1"/>
    <col min="2" max="2" width="10.42578125" bestFit="1" customWidth="1"/>
  </cols>
  <sheetData>
    <row r="1" spans="1:2" ht="15.75">
      <c r="A1" s="2" t="s">
        <v>0</v>
      </c>
    </row>
    <row r="2" spans="1:2" ht="15.75">
      <c r="A2" s="2"/>
    </row>
    <row r="3" spans="1:2" ht="15.75">
      <c r="A3" s="2"/>
    </row>
    <row r="4" spans="1:2">
      <c r="A4" t="s">
        <v>1</v>
      </c>
      <c r="B4">
        <v>142.75</v>
      </c>
    </row>
    <row r="5" spans="1:2">
      <c r="A5" t="s">
        <v>2</v>
      </c>
      <c r="B5" s="1">
        <v>45975</v>
      </c>
    </row>
    <row r="6" spans="1:2">
      <c r="A6" t="s">
        <v>3</v>
      </c>
      <c r="B6">
        <v>52</v>
      </c>
    </row>
    <row r="7" spans="1:2">
      <c r="A7" t="s">
        <v>4</v>
      </c>
      <c r="B7" s="11">
        <v>1.2E-2</v>
      </c>
    </row>
    <row r="8" spans="1:2">
      <c r="A8" t="s">
        <v>5</v>
      </c>
      <c r="B8" s="11">
        <v>-5.0000000000000001E-3</v>
      </c>
    </row>
    <row r="9" spans="1:2">
      <c r="A9" t="s">
        <v>6</v>
      </c>
      <c r="B9" s="11">
        <v>2.5000000000000001E-2</v>
      </c>
    </row>
    <row r="10" spans="1:2">
      <c r="A10" t="s">
        <v>7</v>
      </c>
      <c r="B10" s="11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A44F-AA5F-4DB5-BC64-86DE1C014CF0}">
  <dimension ref="A1:C8"/>
  <sheetViews>
    <sheetView workbookViewId="0"/>
  </sheetViews>
  <sheetFormatPr defaultRowHeight="15"/>
  <cols>
    <col min="1" max="1" width="21.5703125" style="6" customWidth="1"/>
    <col min="2" max="2" width="15.7109375" style="6" customWidth="1"/>
    <col min="3" max="3" width="38.7109375" style="7" customWidth="1"/>
  </cols>
  <sheetData>
    <row r="1" spans="1:3" ht="20.100000000000001" customHeight="1">
      <c r="A1" s="39" t="s">
        <v>8</v>
      </c>
    </row>
    <row r="2" spans="1:3" ht="20.100000000000001" customHeight="1">
      <c r="A2" s="7"/>
    </row>
    <row r="3" spans="1:3" ht="18" customHeight="1">
      <c r="A3" s="29" t="s">
        <v>9</v>
      </c>
      <c r="B3" s="30" t="s">
        <v>10</v>
      </c>
      <c r="C3" s="29" t="s">
        <v>11</v>
      </c>
    </row>
    <row r="4" spans="1:3" ht="18" customHeight="1">
      <c r="A4" s="8" t="s">
        <v>12</v>
      </c>
      <c r="B4" s="12">
        <f>Inputs!B7</f>
        <v>1.2E-2</v>
      </c>
      <c r="C4" s="9" t="s">
        <v>13</v>
      </c>
    </row>
    <row r="5" spans="1:3" ht="18" customHeight="1">
      <c r="A5" s="8" t="s">
        <v>14</v>
      </c>
      <c r="B5" s="12">
        <f>Inputs!B8</f>
        <v>-5.0000000000000001E-3</v>
      </c>
      <c r="C5" s="9" t="s">
        <v>15</v>
      </c>
    </row>
    <row r="6" spans="1:3" ht="18" customHeight="1">
      <c r="A6" s="8" t="s">
        <v>16</v>
      </c>
      <c r="B6" s="12">
        <f>Inputs!B9</f>
        <v>2.5000000000000001E-2</v>
      </c>
      <c r="C6" s="9" t="s">
        <v>17</v>
      </c>
    </row>
    <row r="7" spans="1:3" ht="15.75" thickBot="1">
      <c r="A7" s="27"/>
      <c r="B7" s="28"/>
      <c r="C7" s="31"/>
    </row>
    <row r="8" spans="1:3">
      <c r="A8" s="7" t="s">
        <v>18</v>
      </c>
      <c r="B8" s="13">
        <f>AVERAGE(B4:B6)</f>
        <v>1.0666666666666666E-2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AD32-E174-4B8E-99D3-03AF0D17D85E}">
  <dimension ref="A1:C55"/>
  <sheetViews>
    <sheetView tabSelected="1" zoomScaleNormal="100" workbookViewId="0"/>
  </sheetViews>
  <sheetFormatPr defaultRowHeight="15"/>
  <cols>
    <col min="1" max="1" width="13" customWidth="1"/>
    <col min="2" max="2" width="23.85546875" customWidth="1"/>
    <col min="3" max="3" width="16" customWidth="1"/>
  </cols>
  <sheetData>
    <row r="1" spans="1:3" ht="18.75">
      <c r="A1" s="40" t="s">
        <v>19</v>
      </c>
    </row>
    <row r="3" spans="1:3">
      <c r="A3" s="17" t="s">
        <v>20</v>
      </c>
      <c r="B3" s="17" t="s">
        <v>18</v>
      </c>
      <c r="C3" s="17" t="s">
        <v>21</v>
      </c>
    </row>
    <row r="4" spans="1:3">
      <c r="A4" s="3">
        <v>1</v>
      </c>
      <c r="B4" s="15">
        <f>ScenarioSelector!$B$4</f>
        <v>2.5000000000000001E-2</v>
      </c>
      <c r="C4" s="16">
        <f>Inputs!B4</f>
        <v>142.75</v>
      </c>
    </row>
    <row r="5" spans="1:3">
      <c r="A5" s="3">
        <v>2</v>
      </c>
      <c r="B5" s="15">
        <f>ScenarioSelector!$B$4</f>
        <v>2.5000000000000001E-2</v>
      </c>
      <c r="C5" s="16">
        <f>C4 * (1 + B5)</f>
        <v>146.31874999999999</v>
      </c>
    </row>
    <row r="6" spans="1:3">
      <c r="A6" s="3">
        <v>3</v>
      </c>
      <c r="B6" s="15">
        <f>ScenarioSelector!$B$4</f>
        <v>2.5000000000000001E-2</v>
      </c>
      <c r="C6" s="16">
        <f t="shared" ref="C6:C55" si="0">C5 * (1 + B6)</f>
        <v>149.97671874999997</v>
      </c>
    </row>
    <row r="7" spans="1:3">
      <c r="A7" s="3">
        <v>4</v>
      </c>
      <c r="B7" s="15">
        <f>ScenarioSelector!$B$4</f>
        <v>2.5000000000000001E-2</v>
      </c>
      <c r="C7" s="16">
        <f t="shared" si="0"/>
        <v>153.72613671874996</v>
      </c>
    </row>
    <row r="8" spans="1:3">
      <c r="A8" s="3">
        <v>5</v>
      </c>
      <c r="B8" s="15">
        <f>ScenarioSelector!$B$4</f>
        <v>2.5000000000000001E-2</v>
      </c>
      <c r="C8" s="16">
        <f t="shared" si="0"/>
        <v>157.56929013671868</v>
      </c>
    </row>
    <row r="9" spans="1:3">
      <c r="A9" s="3">
        <v>6</v>
      </c>
      <c r="B9" s="15">
        <f>ScenarioSelector!$B$4</f>
        <v>2.5000000000000001E-2</v>
      </c>
      <c r="C9" s="16">
        <f t="shared" si="0"/>
        <v>161.50852239013662</v>
      </c>
    </row>
    <row r="10" spans="1:3">
      <c r="A10" s="3">
        <v>7</v>
      </c>
      <c r="B10" s="15">
        <f>ScenarioSelector!$B$4</f>
        <v>2.5000000000000001E-2</v>
      </c>
      <c r="C10" s="16">
        <f t="shared" si="0"/>
        <v>165.54623544989002</v>
      </c>
    </row>
    <row r="11" spans="1:3">
      <c r="A11" s="3">
        <v>8</v>
      </c>
      <c r="B11" s="15">
        <f>ScenarioSelector!$B$4</f>
        <v>2.5000000000000001E-2</v>
      </c>
      <c r="C11" s="16">
        <f t="shared" si="0"/>
        <v>169.68489133613727</v>
      </c>
    </row>
    <row r="12" spans="1:3">
      <c r="A12" s="3">
        <v>9</v>
      </c>
      <c r="B12" s="15">
        <f>ScenarioSelector!$B$4</f>
        <v>2.5000000000000001E-2</v>
      </c>
      <c r="C12" s="16">
        <f t="shared" si="0"/>
        <v>173.92701361954067</v>
      </c>
    </row>
    <row r="13" spans="1:3">
      <c r="A13" s="3">
        <v>10</v>
      </c>
      <c r="B13" s="15">
        <f>ScenarioSelector!$B$4</f>
        <v>2.5000000000000001E-2</v>
      </c>
      <c r="C13" s="16">
        <f t="shared" si="0"/>
        <v>178.27518896002917</v>
      </c>
    </row>
    <row r="14" spans="1:3">
      <c r="A14" s="3">
        <v>11</v>
      </c>
      <c r="B14" s="15">
        <f>ScenarioSelector!$B$4</f>
        <v>2.5000000000000001E-2</v>
      </c>
      <c r="C14" s="16">
        <f t="shared" si="0"/>
        <v>182.73206868402988</v>
      </c>
    </row>
    <row r="15" spans="1:3">
      <c r="A15" s="3">
        <v>12</v>
      </c>
      <c r="B15" s="15">
        <f>ScenarioSelector!$B$4</f>
        <v>2.5000000000000001E-2</v>
      </c>
      <c r="C15" s="16">
        <f t="shared" si="0"/>
        <v>187.30037040113061</v>
      </c>
    </row>
    <row r="16" spans="1:3">
      <c r="A16" s="3">
        <v>13</v>
      </c>
      <c r="B16" s="15">
        <f>ScenarioSelector!$B$4</f>
        <v>2.5000000000000001E-2</v>
      </c>
      <c r="C16" s="16">
        <f t="shared" si="0"/>
        <v>191.98287966115885</v>
      </c>
    </row>
    <row r="17" spans="1:3">
      <c r="A17" s="3">
        <v>14</v>
      </c>
      <c r="B17" s="15">
        <f>ScenarioSelector!$B$4</f>
        <v>2.5000000000000001E-2</v>
      </c>
      <c r="C17" s="16">
        <f t="shared" si="0"/>
        <v>196.7824516526878</v>
      </c>
    </row>
    <row r="18" spans="1:3">
      <c r="A18" s="3">
        <v>15</v>
      </c>
      <c r="B18" s="15">
        <f>ScenarioSelector!$B$4</f>
        <v>2.5000000000000001E-2</v>
      </c>
      <c r="C18" s="16">
        <f t="shared" si="0"/>
        <v>201.70201294400496</v>
      </c>
    </row>
    <row r="19" spans="1:3">
      <c r="A19" s="3">
        <v>16</v>
      </c>
      <c r="B19" s="15">
        <f>ScenarioSelector!$B$4</f>
        <v>2.5000000000000001E-2</v>
      </c>
      <c r="C19" s="16">
        <f t="shared" si="0"/>
        <v>206.74456326760506</v>
      </c>
    </row>
    <row r="20" spans="1:3">
      <c r="A20" s="3">
        <v>17</v>
      </c>
      <c r="B20" s="15">
        <f>ScenarioSelector!$B$4</f>
        <v>2.5000000000000001E-2</v>
      </c>
      <c r="C20" s="16">
        <f t="shared" si="0"/>
        <v>211.91317734929515</v>
      </c>
    </row>
    <row r="21" spans="1:3">
      <c r="A21" s="3">
        <v>18</v>
      </c>
      <c r="B21" s="15">
        <f>ScenarioSelector!$B$4</f>
        <v>2.5000000000000001E-2</v>
      </c>
      <c r="C21" s="16">
        <f t="shared" si="0"/>
        <v>217.2110067830275</v>
      </c>
    </row>
    <row r="22" spans="1:3">
      <c r="A22" s="3">
        <v>19</v>
      </c>
      <c r="B22" s="15">
        <f>ScenarioSelector!$B$4</f>
        <v>2.5000000000000001E-2</v>
      </c>
      <c r="C22" s="16">
        <f t="shared" si="0"/>
        <v>222.64128195260318</v>
      </c>
    </row>
    <row r="23" spans="1:3">
      <c r="A23" s="3">
        <v>20</v>
      </c>
      <c r="B23" s="15">
        <f>ScenarioSelector!$B$4</f>
        <v>2.5000000000000001E-2</v>
      </c>
      <c r="C23" s="16">
        <f t="shared" si="0"/>
        <v>228.20731400141824</v>
      </c>
    </row>
    <row r="24" spans="1:3">
      <c r="A24" s="3">
        <v>21</v>
      </c>
      <c r="B24" s="15">
        <f>ScenarioSelector!$B$4</f>
        <v>2.5000000000000001E-2</v>
      </c>
      <c r="C24" s="16">
        <f t="shared" si="0"/>
        <v>233.91249685145368</v>
      </c>
    </row>
    <row r="25" spans="1:3">
      <c r="A25" s="3">
        <v>22</v>
      </c>
      <c r="B25" s="15">
        <f>ScenarioSelector!$B$4</f>
        <v>2.5000000000000001E-2</v>
      </c>
      <c r="C25" s="16">
        <f t="shared" si="0"/>
        <v>239.76030927274002</v>
      </c>
    </row>
    <row r="26" spans="1:3">
      <c r="A26" s="3">
        <v>23</v>
      </c>
      <c r="B26" s="15">
        <f>ScenarioSelector!$B$4</f>
        <v>2.5000000000000001E-2</v>
      </c>
      <c r="C26" s="16">
        <f t="shared" si="0"/>
        <v>245.75431700455849</v>
      </c>
    </row>
    <row r="27" spans="1:3">
      <c r="A27" s="3">
        <v>24</v>
      </c>
      <c r="B27" s="15">
        <f>ScenarioSelector!$B$4</f>
        <v>2.5000000000000001E-2</v>
      </c>
      <c r="C27" s="16">
        <f t="shared" si="0"/>
        <v>251.89817492967242</v>
      </c>
    </row>
    <row r="28" spans="1:3">
      <c r="A28" s="3">
        <v>25</v>
      </c>
      <c r="B28" s="15">
        <f>ScenarioSelector!$B$4</f>
        <v>2.5000000000000001E-2</v>
      </c>
      <c r="C28" s="16">
        <f t="shared" si="0"/>
        <v>258.1956293029142</v>
      </c>
    </row>
    <row r="29" spans="1:3">
      <c r="A29" s="3">
        <v>26</v>
      </c>
      <c r="B29" s="15">
        <f>ScenarioSelector!$B$4</f>
        <v>2.5000000000000001E-2</v>
      </c>
      <c r="C29" s="16">
        <f t="shared" si="0"/>
        <v>264.65052003548703</v>
      </c>
    </row>
    <row r="30" spans="1:3">
      <c r="A30" s="3">
        <v>27</v>
      </c>
      <c r="B30" s="15">
        <f>ScenarioSelector!$B$4</f>
        <v>2.5000000000000001E-2</v>
      </c>
      <c r="C30" s="16">
        <f t="shared" si="0"/>
        <v>271.26678303637419</v>
      </c>
    </row>
    <row r="31" spans="1:3">
      <c r="A31" s="3">
        <v>28</v>
      </c>
      <c r="B31" s="15">
        <f>ScenarioSelector!$B$4</f>
        <v>2.5000000000000001E-2</v>
      </c>
      <c r="C31" s="16">
        <f t="shared" si="0"/>
        <v>278.04845261228354</v>
      </c>
    </row>
    <row r="32" spans="1:3">
      <c r="A32" s="3">
        <v>29</v>
      </c>
      <c r="B32" s="15">
        <f>ScenarioSelector!$B$4</f>
        <v>2.5000000000000001E-2</v>
      </c>
      <c r="C32" s="16">
        <f t="shared" si="0"/>
        <v>284.99966392759063</v>
      </c>
    </row>
    <row r="33" spans="1:3">
      <c r="A33" s="3">
        <v>30</v>
      </c>
      <c r="B33" s="15">
        <f>ScenarioSelector!$B$4</f>
        <v>2.5000000000000001E-2</v>
      </c>
      <c r="C33" s="16">
        <f t="shared" si="0"/>
        <v>292.12465552578038</v>
      </c>
    </row>
    <row r="34" spans="1:3">
      <c r="A34" s="3">
        <v>31</v>
      </c>
      <c r="B34" s="15">
        <f>ScenarioSelector!$B$4</f>
        <v>2.5000000000000001E-2</v>
      </c>
      <c r="C34" s="16">
        <f t="shared" si="0"/>
        <v>299.42777191392486</v>
      </c>
    </row>
    <row r="35" spans="1:3">
      <c r="A35" s="3">
        <v>32</v>
      </c>
      <c r="B35" s="15">
        <f>ScenarioSelector!$B$4</f>
        <v>2.5000000000000001E-2</v>
      </c>
      <c r="C35" s="16">
        <f t="shared" si="0"/>
        <v>306.91346621177297</v>
      </c>
    </row>
    <row r="36" spans="1:3">
      <c r="A36" s="3">
        <v>33</v>
      </c>
      <c r="B36" s="15">
        <f>ScenarioSelector!$B$4</f>
        <v>2.5000000000000001E-2</v>
      </c>
      <c r="C36" s="16">
        <f t="shared" si="0"/>
        <v>314.58630286706727</v>
      </c>
    </row>
    <row r="37" spans="1:3">
      <c r="A37" s="3">
        <v>34</v>
      </c>
      <c r="B37" s="15">
        <f>ScenarioSelector!$B$4</f>
        <v>2.5000000000000001E-2</v>
      </c>
      <c r="C37" s="16">
        <f t="shared" si="0"/>
        <v>322.45096043874395</v>
      </c>
    </row>
    <row r="38" spans="1:3">
      <c r="A38" s="3">
        <v>35</v>
      </c>
      <c r="B38" s="15">
        <f>ScenarioSelector!$B$4</f>
        <v>2.5000000000000001E-2</v>
      </c>
      <c r="C38" s="16">
        <f t="shared" si="0"/>
        <v>330.51223444971254</v>
      </c>
    </row>
    <row r="39" spans="1:3">
      <c r="A39" s="3">
        <v>36</v>
      </c>
      <c r="B39" s="15">
        <f>ScenarioSelector!$B$4</f>
        <v>2.5000000000000001E-2</v>
      </c>
      <c r="C39" s="16">
        <f t="shared" si="0"/>
        <v>338.77504031095532</v>
      </c>
    </row>
    <row r="40" spans="1:3">
      <c r="A40" s="3">
        <v>37</v>
      </c>
      <c r="B40" s="15">
        <f>ScenarioSelector!$B$4</f>
        <v>2.5000000000000001E-2</v>
      </c>
      <c r="C40" s="16">
        <f t="shared" si="0"/>
        <v>347.24441631872918</v>
      </c>
    </row>
    <row r="41" spans="1:3">
      <c r="A41" s="3">
        <v>38</v>
      </c>
      <c r="B41" s="15">
        <f>ScenarioSelector!$B$4</f>
        <v>2.5000000000000001E-2</v>
      </c>
      <c r="C41" s="16">
        <f t="shared" si="0"/>
        <v>355.9255267266974</v>
      </c>
    </row>
    <row r="42" spans="1:3">
      <c r="A42" s="3">
        <v>39</v>
      </c>
      <c r="B42" s="15">
        <f>ScenarioSelector!$B$4</f>
        <v>2.5000000000000001E-2</v>
      </c>
      <c r="C42" s="16">
        <f t="shared" si="0"/>
        <v>364.82366489486481</v>
      </c>
    </row>
    <row r="43" spans="1:3">
      <c r="A43" s="3">
        <v>40</v>
      </c>
      <c r="B43" s="15">
        <f>ScenarioSelector!$B$4</f>
        <v>2.5000000000000001E-2</v>
      </c>
      <c r="C43" s="16">
        <f t="shared" si="0"/>
        <v>373.9442565172364</v>
      </c>
    </row>
    <row r="44" spans="1:3">
      <c r="A44" s="3">
        <v>41</v>
      </c>
      <c r="B44" s="15">
        <f>ScenarioSelector!$B$4</f>
        <v>2.5000000000000001E-2</v>
      </c>
      <c r="C44" s="16">
        <f t="shared" si="0"/>
        <v>383.29286293016725</v>
      </c>
    </row>
    <row r="45" spans="1:3">
      <c r="A45" s="3">
        <v>42</v>
      </c>
      <c r="B45" s="15">
        <f>ScenarioSelector!$B$4</f>
        <v>2.5000000000000001E-2</v>
      </c>
      <c r="C45" s="16">
        <f t="shared" si="0"/>
        <v>392.87518450342139</v>
      </c>
    </row>
    <row r="46" spans="1:3">
      <c r="A46" s="3">
        <v>43</v>
      </c>
      <c r="B46" s="15">
        <f>ScenarioSelector!$B$4</f>
        <v>2.5000000000000001E-2</v>
      </c>
      <c r="C46" s="16">
        <f t="shared" si="0"/>
        <v>402.69706411600691</v>
      </c>
    </row>
    <row r="47" spans="1:3">
      <c r="A47" s="3">
        <v>44</v>
      </c>
      <c r="B47" s="15">
        <f>ScenarioSelector!$B$4</f>
        <v>2.5000000000000001E-2</v>
      </c>
      <c r="C47" s="16">
        <f t="shared" si="0"/>
        <v>412.76449071890704</v>
      </c>
    </row>
    <row r="48" spans="1:3">
      <c r="A48" s="3">
        <v>45</v>
      </c>
      <c r="B48" s="15">
        <f>ScenarioSelector!$B$4</f>
        <v>2.5000000000000001E-2</v>
      </c>
      <c r="C48" s="16">
        <f t="shared" si="0"/>
        <v>423.08360298687967</v>
      </c>
    </row>
    <row r="49" spans="1:3">
      <c r="A49" s="3">
        <v>46</v>
      </c>
      <c r="B49" s="15">
        <f>ScenarioSelector!$B$4</f>
        <v>2.5000000000000001E-2</v>
      </c>
      <c r="C49" s="16">
        <f t="shared" si="0"/>
        <v>433.66069306155163</v>
      </c>
    </row>
    <row r="50" spans="1:3">
      <c r="A50" s="3">
        <v>47</v>
      </c>
      <c r="B50" s="15">
        <f>ScenarioSelector!$B$4</f>
        <v>2.5000000000000001E-2</v>
      </c>
      <c r="C50" s="16">
        <f t="shared" si="0"/>
        <v>444.50221038809036</v>
      </c>
    </row>
    <row r="51" spans="1:3">
      <c r="A51" s="3">
        <v>48</v>
      </c>
      <c r="B51" s="15">
        <f>ScenarioSelector!$B$4</f>
        <v>2.5000000000000001E-2</v>
      </c>
      <c r="C51" s="16">
        <f t="shared" si="0"/>
        <v>455.61476564779258</v>
      </c>
    </row>
    <row r="52" spans="1:3">
      <c r="A52" s="3">
        <v>49</v>
      </c>
      <c r="B52" s="15">
        <f>ScenarioSelector!$B$4</f>
        <v>2.5000000000000001E-2</v>
      </c>
      <c r="C52" s="16">
        <f t="shared" si="0"/>
        <v>467.00513478898733</v>
      </c>
    </row>
    <row r="53" spans="1:3">
      <c r="A53" s="3">
        <v>50</v>
      </c>
      <c r="B53" s="15">
        <f>ScenarioSelector!$B$4</f>
        <v>2.5000000000000001E-2</v>
      </c>
      <c r="C53" s="16">
        <f t="shared" si="0"/>
        <v>478.68026315871197</v>
      </c>
    </row>
    <row r="54" spans="1:3">
      <c r="A54" s="3">
        <v>51</v>
      </c>
      <c r="B54" s="15">
        <f>ScenarioSelector!$B$4</f>
        <v>2.5000000000000001E-2</v>
      </c>
      <c r="C54" s="16">
        <f t="shared" si="0"/>
        <v>490.64726973767972</v>
      </c>
    </row>
    <row r="55" spans="1:3">
      <c r="A55" s="3">
        <v>52</v>
      </c>
      <c r="B55" s="15">
        <f>ScenarioSelector!$B$4</f>
        <v>2.5000000000000001E-2</v>
      </c>
      <c r="C55" s="16">
        <f t="shared" si="0"/>
        <v>502.91345148112168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E534-CFBE-406A-85C3-1473FBB602D1}">
  <dimension ref="A1:C9"/>
  <sheetViews>
    <sheetView workbookViewId="0">
      <selection activeCell="B3" sqref="B3"/>
    </sheetView>
  </sheetViews>
  <sheetFormatPr defaultRowHeight="15"/>
  <cols>
    <col min="1" max="1" width="23.5703125" style="20" customWidth="1"/>
    <col min="2" max="2" width="20.140625" style="4" customWidth="1"/>
    <col min="3" max="3" width="32.42578125" style="19" customWidth="1"/>
  </cols>
  <sheetData>
    <row r="1" spans="1:3" ht="18.75">
      <c r="A1" s="25" t="s">
        <v>25</v>
      </c>
      <c r="B1" s="26"/>
    </row>
    <row r="2" spans="1:3">
      <c r="A2" s="32"/>
      <c r="B2" s="33"/>
    </row>
    <row r="3" spans="1:3">
      <c r="A3" s="21" t="s">
        <v>22</v>
      </c>
      <c r="B3" s="5" t="s">
        <v>16</v>
      </c>
      <c r="C3" s="34" t="str">
        <f>_xlfn.XLOOKUP(B3, Scenarios!A4:A6, Scenarios!C4:C6)</f>
        <v>Strong inflows / bullish sentiment</v>
      </c>
    </row>
    <row r="4" spans="1:3">
      <c r="A4" s="21" t="s">
        <v>18</v>
      </c>
      <c r="B4" s="24">
        <f>_xlfn.XLOOKUP(B3, Scenarios!$A$4:$A$6, Scenarios!$B$4:$B$6)</f>
        <v>2.5000000000000001E-2</v>
      </c>
    </row>
    <row r="7" spans="1:3">
      <c r="A7" s="32"/>
      <c r="B7" s="33"/>
    </row>
    <row r="8" spans="1:3">
      <c r="A8" s="21" t="s">
        <v>23</v>
      </c>
      <c r="B8" s="22">
        <f>SOLForecast!C55</f>
        <v>502.91345148112168</v>
      </c>
    </row>
    <row r="9" spans="1:3">
      <c r="A9" s="21" t="s">
        <v>24</v>
      </c>
      <c r="B9" s="23">
        <f>(SOLForecast!C55 / Inputs!B4) - 1</f>
        <v>2.5230364376961241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A480DB-2BAE-44AA-BFC3-C4CB4B7AA417}">
          <x14:formula1>
            <xm:f>Scenarios!$A$4:$A$6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A00E-7EA9-4DE8-AEB2-003C5596DA5C}">
  <dimension ref="A1:H7"/>
  <sheetViews>
    <sheetView workbookViewId="0">
      <selection activeCell="D4" sqref="D4"/>
    </sheetView>
  </sheetViews>
  <sheetFormatPr defaultRowHeight="15"/>
  <cols>
    <col min="2" max="2" width="14.28515625" customWidth="1"/>
    <col min="3" max="3" width="13.7109375" customWidth="1"/>
    <col min="6" max="6" width="13.42578125" bestFit="1" customWidth="1"/>
    <col min="7" max="7" width="24.5703125" bestFit="1" customWidth="1"/>
    <col min="8" max="8" width="26.42578125" bestFit="1" customWidth="1"/>
  </cols>
  <sheetData>
    <row r="1" spans="1:8">
      <c r="A1" s="18" t="s">
        <v>9</v>
      </c>
      <c r="B1" t="s">
        <v>10</v>
      </c>
      <c r="C1" t="s">
        <v>27</v>
      </c>
      <c r="D1" s="35" t="s">
        <v>26</v>
      </c>
    </row>
    <row r="2" spans="1:8">
      <c r="A2" t="s">
        <v>28</v>
      </c>
      <c r="B2" s="11">
        <f>Scenarios!B4</f>
        <v>1.2E-2</v>
      </c>
      <c r="C2" s="14">
        <f>Inputs!$B$4 * (1 + B2)^Inputs!$B$6</f>
        <v>265.4377987386253</v>
      </c>
      <c r="D2" s="10">
        <f>C2/Inputs!$B$4 - 1</f>
        <v>0.85945918555954681</v>
      </c>
    </row>
    <row r="3" spans="1:8">
      <c r="A3" s="18" t="s">
        <v>30</v>
      </c>
      <c r="B3" s="11">
        <f>Scenarios!B5</f>
        <v>-5.0000000000000001E-3</v>
      </c>
      <c r="C3" s="14">
        <f>Inputs!$B$4 * (1 + B3)^Inputs!$B$6</f>
        <v>109.99585394927125</v>
      </c>
      <c r="D3" s="10">
        <f>C3/Inputs!$B$4 - 1</f>
        <v>-0.2294511106881173</v>
      </c>
      <c r="F3" s="36" t="s">
        <v>31</v>
      </c>
      <c r="G3" t="s">
        <v>33</v>
      </c>
      <c r="H3" t="s">
        <v>34</v>
      </c>
    </row>
    <row r="4" spans="1:8">
      <c r="A4" s="18" t="s">
        <v>29</v>
      </c>
      <c r="B4" s="11">
        <f>Scenarios!B6</f>
        <v>2.5000000000000001E-2</v>
      </c>
      <c r="C4" s="14">
        <f>Inputs!$B$4 * (1 + B4)^Inputs!$B$6</f>
        <v>515.48628776815076</v>
      </c>
      <c r="D4" s="10">
        <f>C4/Inputs!$B$4 - 1</f>
        <v>2.6111123486385344</v>
      </c>
      <c r="F4" s="18" t="s">
        <v>28</v>
      </c>
      <c r="G4" s="37">
        <v>1.2E-2</v>
      </c>
      <c r="H4" s="38">
        <v>0.85945918555954681</v>
      </c>
    </row>
    <row r="5" spans="1:8">
      <c r="A5" s="18"/>
      <c r="B5" s="11"/>
      <c r="F5" s="18" t="s">
        <v>30</v>
      </c>
      <c r="G5" s="37">
        <v>-5.0000000000000001E-3</v>
      </c>
      <c r="H5" s="38">
        <v>-0.2294511106881173</v>
      </c>
    </row>
    <row r="6" spans="1:8">
      <c r="A6" s="18"/>
      <c r="B6" s="11"/>
      <c r="F6" s="18" t="s">
        <v>29</v>
      </c>
      <c r="G6" s="37">
        <v>2.5000000000000001E-2</v>
      </c>
      <c r="H6" s="38">
        <v>2.6111123486385344</v>
      </c>
    </row>
    <row r="7" spans="1:8">
      <c r="F7" s="18" t="s">
        <v>32</v>
      </c>
      <c r="G7" s="37">
        <v>1.0666666666666666E-2</v>
      </c>
      <c r="H7" s="38">
        <v>1.0803734745033213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C466875DA1964C8346FDAE5A355418" ma:contentTypeVersion="6" ma:contentTypeDescription="Create a new document." ma:contentTypeScope="" ma:versionID="42e3375de2c24fb09b2cf87b7622611a">
  <xsd:schema xmlns:xsd="http://www.w3.org/2001/XMLSchema" xmlns:xs="http://www.w3.org/2001/XMLSchema" xmlns:p="http://schemas.microsoft.com/office/2006/metadata/properties" xmlns:ns3="434677b3-12a3-4a8c-a1f3-13ab1b1eb89e" targetNamespace="http://schemas.microsoft.com/office/2006/metadata/properties" ma:root="true" ma:fieldsID="1116fc3f4fde046f24836ed239508e73" ns3:_="">
    <xsd:import namespace="434677b3-12a3-4a8c-a1f3-13ab1b1eb8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677b3-12a3-4a8c-a1f3-13ab1b1eb8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4677b3-12a3-4a8c-a1f3-13ab1b1eb89e" xsi:nil="true"/>
  </documentManagement>
</p:properties>
</file>

<file path=customXml/itemProps1.xml><?xml version="1.0" encoding="utf-8"?>
<ds:datastoreItem xmlns:ds="http://schemas.openxmlformats.org/officeDocument/2006/customXml" ds:itemID="{1D9ED400-5B1D-4202-9390-FD2D4CEF6C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7FE140-6B80-43B8-B9A7-702D5F2974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4677b3-12a3-4a8c-a1f3-13ab1b1eb8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28B873-A71F-41B3-93B4-3E960766D89C}">
  <ds:schemaRefs>
    <ds:schemaRef ds:uri="http://purl.org/dc/terms/"/>
    <ds:schemaRef ds:uri="http://www.w3.org/XML/1998/namespace"/>
    <ds:schemaRef ds:uri="http://schemas.microsoft.com/office/2006/metadata/properties"/>
    <ds:schemaRef ds:uri="434677b3-12a3-4a8c-a1f3-13ab1b1eb89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Scenarios</vt:lpstr>
      <vt:lpstr>SOLForecast</vt:lpstr>
      <vt:lpstr>ScenarioSelector</vt:lpstr>
      <vt:lpstr>ScenarioSummary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Fode Camara</dc:creator>
  <cp:lastModifiedBy>Fode Camara</cp:lastModifiedBy>
  <dcterms:created xsi:type="dcterms:W3CDTF">2025-11-15T16:39:35Z</dcterms:created>
  <dcterms:modified xsi:type="dcterms:W3CDTF">2025-11-16T19:52:31Z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0x01010012C466875DA1964C8346FDAE5A355418</vt:lpwstr>
  </property>
</Properties>
</file>